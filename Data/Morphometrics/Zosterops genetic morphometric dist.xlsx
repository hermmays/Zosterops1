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ysh/Library/Mobile Documents/com~apple~CloudDocs/Marshall_University/Research/Zosterops/Kansas collaboration/Methods and Results/Zosterops Methods and Results/Data/Morphometrics/"/>
    </mc:Choice>
  </mc:AlternateContent>
  <xr:revisionPtr revIDLastSave="0" documentId="13_ncr:1_{8ABE28F6-A12D-AE41-ADE7-703BEAEA55DA}" xr6:coauthVersionLast="47" xr6:coauthVersionMax="47" xr10:uidLastSave="{00000000-0000-0000-0000-000000000000}"/>
  <bookViews>
    <workbookView xWindow="22480" yWindow="2220" windowWidth="28040" windowHeight="21200" xr2:uid="{DA764C15-F3FF-CD43-80D7-98708ECF9DBB}"/>
  </bookViews>
  <sheets>
    <sheet name="Genetic distances" sheetId="1" r:id="rId1"/>
    <sheet name="Genetic and morphometric dist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8" i="1" l="1"/>
  <c r="G27" i="1"/>
  <c r="G24" i="1"/>
  <c r="G21" i="1"/>
  <c r="G17" i="1"/>
  <c r="G12" i="1"/>
  <c r="G8" i="1"/>
  <c r="G7" i="1"/>
  <c r="G6" i="1"/>
  <c r="G5" i="1"/>
  <c r="G4" i="1"/>
  <c r="G3" i="1"/>
  <c r="G2" i="1"/>
</calcChain>
</file>

<file path=xl/sharedStrings.xml><?xml version="1.0" encoding="utf-8"?>
<sst xmlns="http://schemas.openxmlformats.org/spreadsheetml/2006/main" count="119" uniqueCount="76">
  <si>
    <t>Pairwise comparison</t>
  </si>
  <si>
    <t>Genetic distance</t>
  </si>
  <si>
    <t>JAPO_JAal</t>
  </si>
  <si>
    <t>JAPO_SIMP</t>
  </si>
  <si>
    <t>JAPO_MEYE</t>
  </si>
  <si>
    <t>JAPO_MONTs</t>
  </si>
  <si>
    <t>JAPO_MONTn</t>
  </si>
  <si>
    <t>JAPO_MONTp</t>
  </si>
  <si>
    <t>JAPO_NIGR</t>
  </si>
  <si>
    <t>JAPO_ERYT</t>
  </si>
  <si>
    <t>JAPO_PALP</t>
  </si>
  <si>
    <t>JAPO_EVER</t>
  </si>
  <si>
    <t>JAal_SIMP</t>
  </si>
  <si>
    <t>JAal_MEYE</t>
  </si>
  <si>
    <t>JAal_MONTs</t>
  </si>
  <si>
    <t>JAal_MONTn</t>
  </si>
  <si>
    <t>JAal_MONTp</t>
  </si>
  <si>
    <t>JAal_NIGR</t>
  </si>
  <si>
    <t>JAal_ERYT</t>
  </si>
  <si>
    <t>JAal_PALP</t>
  </si>
  <si>
    <t>JAal_EVER</t>
  </si>
  <si>
    <t>SIMP_MEYE</t>
  </si>
  <si>
    <t>SIMP_MONTs</t>
  </si>
  <si>
    <t>SIMP_MONTn</t>
  </si>
  <si>
    <t>SIMP_MONTp</t>
  </si>
  <si>
    <t>SIMP_NIGR</t>
  </si>
  <si>
    <t>SIMP_ERYT</t>
  </si>
  <si>
    <t>SIMP_PALP</t>
  </si>
  <si>
    <t>SIMP_EVER</t>
  </si>
  <si>
    <t>MEYE_MONTs</t>
  </si>
  <si>
    <t>MEYE_MONTn</t>
  </si>
  <si>
    <t>MEYE_MONTp</t>
  </si>
  <si>
    <t>MEYE_NIGR</t>
  </si>
  <si>
    <t>MEYE_ERYT</t>
  </si>
  <si>
    <t>MEYE_PALP</t>
  </si>
  <si>
    <t>MEYE_EVER</t>
  </si>
  <si>
    <t>MONTs_MONTn</t>
  </si>
  <si>
    <t>MONTs_MONTp</t>
  </si>
  <si>
    <t>MONTs_NIGR</t>
  </si>
  <si>
    <t>MONTs_ERYT</t>
  </si>
  <si>
    <t>MONTs_PALP</t>
  </si>
  <si>
    <t>MONTs_EVER</t>
  </si>
  <si>
    <t>MONTn_MONTp</t>
  </si>
  <si>
    <t>MONTn_NIGR</t>
  </si>
  <si>
    <t>MONTn_ERYT</t>
  </si>
  <si>
    <t>MONTn_PALP</t>
  </si>
  <si>
    <t>MONTn_EVER</t>
  </si>
  <si>
    <t>MONTp_NIGR</t>
  </si>
  <si>
    <t>MONTp_ERYT</t>
  </si>
  <si>
    <t>MONTp_PALP</t>
  </si>
  <si>
    <t>MONTp_EVER</t>
  </si>
  <si>
    <t>NIGR_ERYT</t>
  </si>
  <si>
    <t>NIGR_PALP</t>
  </si>
  <si>
    <t>NIGR_EVER</t>
  </si>
  <si>
    <t>ERYT_PALP</t>
  </si>
  <si>
    <t>ERYT_EVER</t>
  </si>
  <si>
    <t>MONT_MEYE</t>
  </si>
  <si>
    <t>MONT_EVER</t>
  </si>
  <si>
    <t>MONT_NIGR</t>
  </si>
  <si>
    <t>MONT_ERYT</t>
  </si>
  <si>
    <t>MONT_JAPO</t>
  </si>
  <si>
    <t>MONT_SIMP</t>
  </si>
  <si>
    <t>MONT_PALP</t>
  </si>
  <si>
    <t>MEYE_JAPO</t>
  </si>
  <si>
    <t>MEYE_SIMP</t>
  </si>
  <si>
    <t>EVER_NIGR</t>
  </si>
  <si>
    <t>EVER_ERYT</t>
  </si>
  <si>
    <t>EVER_JAPO</t>
  </si>
  <si>
    <t>EVER_SIMP</t>
  </si>
  <si>
    <t>EVER_PALP</t>
  </si>
  <si>
    <t>PALP_EVER</t>
  </si>
  <si>
    <t>NIGR_JAPO</t>
  </si>
  <si>
    <t>NIGR_SIMP</t>
  </si>
  <si>
    <t>ERYT_JAPO</t>
  </si>
  <si>
    <t>ERYT_SIMP</t>
  </si>
  <si>
    <t>Morphological distance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</si>
</sst>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rgb="FF000000"/>
      <name val="Lucida San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46D06F-A81D-2B4E-8812-9A73FA2B61BA}">
  <dimension ref="A1:J56"/>
  <sheetViews>
    <sheetView tabSelected="1" workbookViewId="0">
      <selection activeCell="F1" sqref="F1:H29"/>
    </sheetView>
  </sheetViews>
  <sheetFormatPr baseColWidth="10" defaultRowHeight="16" x14ac:dyDescent="0.2"/>
  <cols>
    <col min="1" max="1" width="18" bestFit="1" customWidth="1"/>
    <col min="2" max="2" width="15" bestFit="1" customWidth="1"/>
    <col min="3" max="3" width="20.1640625" bestFit="1" customWidth="1"/>
    <col min="6" max="6" width="18" bestFit="1" customWidth="1"/>
    <col min="7" max="7" width="15" bestFit="1" customWidth="1"/>
    <col min="8" max="8" width="20.1640625" bestFit="1" customWidth="1"/>
  </cols>
  <sheetData>
    <row r="1" spans="1:8" x14ac:dyDescent="0.2">
      <c r="A1" t="s">
        <v>0</v>
      </c>
      <c r="B1" t="s">
        <v>1</v>
      </c>
      <c r="F1" t="s">
        <v>0</v>
      </c>
      <c r="G1" t="s">
        <v>1</v>
      </c>
      <c r="H1" t="s">
        <v>75</v>
      </c>
    </row>
    <row r="2" spans="1:8" x14ac:dyDescent="0.2">
      <c r="A2" t="s">
        <v>2</v>
      </c>
      <c r="B2">
        <v>0.19</v>
      </c>
      <c r="F2" t="s">
        <v>56</v>
      </c>
      <c r="G2">
        <f>AVERAGE(B29:B31)</f>
        <v>1.6000000000000003</v>
      </c>
      <c r="H2">
        <v>1.36</v>
      </c>
    </row>
    <row r="3" spans="1:8" x14ac:dyDescent="0.2">
      <c r="A3" t="s">
        <v>3</v>
      </c>
      <c r="B3">
        <v>29.42</v>
      </c>
      <c r="F3" t="s">
        <v>57</v>
      </c>
      <c r="G3">
        <f>AVERAGE(B41,B46,B50)</f>
        <v>36.226666666666667</v>
      </c>
      <c r="H3">
        <v>0.88</v>
      </c>
    </row>
    <row r="4" spans="1:8" x14ac:dyDescent="0.2">
      <c r="A4" t="s">
        <v>4</v>
      </c>
      <c r="B4">
        <v>2.84</v>
      </c>
      <c r="F4" t="s">
        <v>58</v>
      </c>
      <c r="G4">
        <f>AVERAGE(B38,B43,B47)</f>
        <v>28.419999999999998</v>
      </c>
      <c r="H4">
        <v>0.27</v>
      </c>
    </row>
    <row r="5" spans="1:8" x14ac:dyDescent="0.2">
      <c r="A5" t="s">
        <v>5</v>
      </c>
      <c r="B5">
        <v>4.58</v>
      </c>
      <c r="F5" t="s">
        <v>59</v>
      </c>
      <c r="G5">
        <f>AVERAGE(B39,B44,B48)</f>
        <v>18.933333333333334</v>
      </c>
      <c r="H5">
        <v>2.44</v>
      </c>
    </row>
    <row r="6" spans="1:8" x14ac:dyDescent="0.2">
      <c r="A6" t="s">
        <v>6</v>
      </c>
      <c r="B6">
        <v>4.22</v>
      </c>
      <c r="F6" t="s">
        <v>60</v>
      </c>
      <c r="G6">
        <f>AVERAGE(B5:B7)</f>
        <v>4.373333333333334</v>
      </c>
      <c r="H6">
        <v>3</v>
      </c>
    </row>
    <row r="7" spans="1:8" x14ac:dyDescent="0.2">
      <c r="A7" t="s">
        <v>7</v>
      </c>
      <c r="B7">
        <v>4.32</v>
      </c>
      <c r="F7" t="s">
        <v>61</v>
      </c>
      <c r="G7">
        <f>AVERAGE(B22:B24)</f>
        <v>26.403333333333336</v>
      </c>
      <c r="H7">
        <v>2.0699999999999998</v>
      </c>
    </row>
    <row r="8" spans="1:8" x14ac:dyDescent="0.2">
      <c r="A8" t="s">
        <v>8</v>
      </c>
      <c r="B8">
        <v>30.71</v>
      </c>
      <c r="F8" t="s">
        <v>62</v>
      </c>
      <c r="G8">
        <f>AVERAGE(B40,B45,B49)</f>
        <v>35.81</v>
      </c>
      <c r="H8">
        <v>2.6</v>
      </c>
    </row>
    <row r="9" spans="1:8" x14ac:dyDescent="0.2">
      <c r="A9" t="s">
        <v>9</v>
      </c>
      <c r="B9">
        <v>23.04</v>
      </c>
      <c r="F9" t="s">
        <v>35</v>
      </c>
      <c r="G9">
        <v>37.130000000000003</v>
      </c>
      <c r="H9">
        <v>1.04</v>
      </c>
    </row>
    <row r="10" spans="1:8" x14ac:dyDescent="0.2">
      <c r="A10" t="s">
        <v>10</v>
      </c>
      <c r="B10">
        <v>39.74</v>
      </c>
      <c r="F10" t="s">
        <v>32</v>
      </c>
      <c r="G10">
        <v>29.33</v>
      </c>
      <c r="H10">
        <v>1.45</v>
      </c>
    </row>
    <row r="11" spans="1:8" x14ac:dyDescent="0.2">
      <c r="A11" t="s">
        <v>11</v>
      </c>
      <c r="B11">
        <v>38.450000000000003</v>
      </c>
      <c r="F11" t="s">
        <v>33</v>
      </c>
      <c r="G11">
        <v>20.43</v>
      </c>
      <c r="H11">
        <v>3.29</v>
      </c>
    </row>
    <row r="12" spans="1:8" x14ac:dyDescent="0.2">
      <c r="A12" t="s">
        <v>12</v>
      </c>
      <c r="B12">
        <v>29.29</v>
      </c>
      <c r="F12" t="s">
        <v>63</v>
      </c>
      <c r="G12">
        <f>AVERAGE(B4,B13)</f>
        <v>2.75</v>
      </c>
      <c r="H12">
        <v>2.13</v>
      </c>
    </row>
    <row r="13" spans="1:8" x14ac:dyDescent="0.2">
      <c r="A13" t="s">
        <v>13</v>
      </c>
      <c r="B13">
        <v>2.66</v>
      </c>
      <c r="F13" t="s">
        <v>64</v>
      </c>
      <c r="G13">
        <v>27.33</v>
      </c>
      <c r="H13">
        <v>3.22</v>
      </c>
    </row>
    <row r="14" spans="1:8" x14ac:dyDescent="0.2">
      <c r="A14" t="s">
        <v>14</v>
      </c>
      <c r="B14">
        <v>4.4000000000000004</v>
      </c>
      <c r="F14" t="s">
        <v>34</v>
      </c>
      <c r="G14">
        <v>37.22</v>
      </c>
      <c r="H14">
        <v>3.81</v>
      </c>
    </row>
    <row r="15" spans="1:8" x14ac:dyDescent="0.2">
      <c r="A15" t="s">
        <v>15</v>
      </c>
      <c r="B15">
        <v>4.05</v>
      </c>
      <c r="F15" t="s">
        <v>65</v>
      </c>
      <c r="G15">
        <v>7.82</v>
      </c>
      <c r="H15">
        <v>0.76</v>
      </c>
    </row>
    <row r="16" spans="1:8" x14ac:dyDescent="0.2">
      <c r="A16" t="s">
        <v>16</v>
      </c>
      <c r="B16">
        <v>4.1399999999999997</v>
      </c>
      <c r="F16" t="s">
        <v>66</v>
      </c>
      <c r="G16">
        <v>28.28</v>
      </c>
      <c r="H16">
        <v>2.52</v>
      </c>
    </row>
    <row r="17" spans="1:10" x14ac:dyDescent="0.2">
      <c r="A17" t="s">
        <v>17</v>
      </c>
      <c r="B17">
        <v>30.66</v>
      </c>
      <c r="F17" t="s">
        <v>67</v>
      </c>
      <c r="G17">
        <f>AVERAGE(B11,B20)</f>
        <v>38.43</v>
      </c>
      <c r="H17">
        <v>2.87</v>
      </c>
    </row>
    <row r="18" spans="1:10" x14ac:dyDescent="0.2">
      <c r="A18" t="s">
        <v>18</v>
      </c>
      <c r="B18">
        <v>22.88</v>
      </c>
      <c r="F18" t="s">
        <v>68</v>
      </c>
      <c r="G18">
        <v>37.799999999999997</v>
      </c>
      <c r="H18">
        <v>2.4300000000000002</v>
      </c>
    </row>
    <row r="19" spans="1:10" x14ac:dyDescent="0.2">
      <c r="A19" t="s">
        <v>19</v>
      </c>
      <c r="B19">
        <v>39.58</v>
      </c>
      <c r="F19" t="s">
        <v>69</v>
      </c>
      <c r="G19">
        <v>39.36</v>
      </c>
      <c r="H19">
        <v>2.89</v>
      </c>
    </row>
    <row r="20" spans="1:10" x14ac:dyDescent="0.2">
      <c r="A20" t="s">
        <v>20</v>
      </c>
      <c r="B20">
        <v>38.409999999999997</v>
      </c>
      <c r="F20" t="s">
        <v>51</v>
      </c>
      <c r="G20">
        <v>21.81</v>
      </c>
      <c r="H20">
        <v>2.23</v>
      </c>
    </row>
    <row r="21" spans="1:10" x14ac:dyDescent="0.2">
      <c r="A21" t="s">
        <v>21</v>
      </c>
      <c r="B21">
        <v>27.33</v>
      </c>
      <c r="F21" t="s">
        <v>71</v>
      </c>
      <c r="G21">
        <f>AVERAGE(B8,B17)</f>
        <v>30.685000000000002</v>
      </c>
      <c r="H21">
        <v>3.08</v>
      </c>
    </row>
    <row r="22" spans="1:10" x14ac:dyDescent="0.2">
      <c r="A22" t="s">
        <v>22</v>
      </c>
      <c r="B22">
        <v>26.53</v>
      </c>
      <c r="F22" t="s">
        <v>72</v>
      </c>
      <c r="G22">
        <v>32.5</v>
      </c>
      <c r="H22">
        <v>1.9</v>
      </c>
    </row>
    <row r="23" spans="1:10" x14ac:dyDescent="0.2">
      <c r="A23" t="s">
        <v>23</v>
      </c>
      <c r="B23">
        <v>26.09</v>
      </c>
      <c r="F23" t="s">
        <v>52</v>
      </c>
      <c r="G23">
        <v>35.39</v>
      </c>
      <c r="H23">
        <v>2.41</v>
      </c>
    </row>
    <row r="24" spans="1:10" x14ac:dyDescent="0.2">
      <c r="A24" t="s">
        <v>24</v>
      </c>
      <c r="B24">
        <v>26.59</v>
      </c>
      <c r="F24" t="s">
        <v>73</v>
      </c>
      <c r="G24">
        <f>AVERAGE(B9,B18)</f>
        <v>22.96</v>
      </c>
      <c r="H24">
        <v>3.99</v>
      </c>
    </row>
    <row r="25" spans="1:10" x14ac:dyDescent="0.2">
      <c r="A25" t="s">
        <v>25</v>
      </c>
      <c r="B25">
        <v>32.5</v>
      </c>
      <c r="F25" t="s">
        <v>74</v>
      </c>
      <c r="G25">
        <v>25.85</v>
      </c>
      <c r="H25">
        <v>0.93</v>
      </c>
    </row>
    <row r="26" spans="1:10" x14ac:dyDescent="0.2">
      <c r="A26" t="s">
        <v>26</v>
      </c>
      <c r="B26">
        <v>25.85</v>
      </c>
      <c r="F26" t="s">
        <v>54</v>
      </c>
      <c r="G26">
        <v>18.54</v>
      </c>
      <c r="H26">
        <v>1.48</v>
      </c>
    </row>
    <row r="27" spans="1:10" x14ac:dyDescent="0.2">
      <c r="A27" t="s">
        <v>27</v>
      </c>
      <c r="B27">
        <v>39.090000000000003</v>
      </c>
      <c r="F27" t="s">
        <v>3</v>
      </c>
      <c r="G27">
        <f>AVERAGE(B3,B12)</f>
        <v>29.355</v>
      </c>
      <c r="H27">
        <v>4.18</v>
      </c>
    </row>
    <row r="28" spans="1:10" x14ac:dyDescent="0.2">
      <c r="A28" t="s">
        <v>28</v>
      </c>
      <c r="B28">
        <v>37.799999999999997</v>
      </c>
      <c r="F28" t="s">
        <v>10</v>
      </c>
      <c r="G28">
        <f>AVERAGE(B10,B19)</f>
        <v>39.659999999999997</v>
      </c>
      <c r="H28">
        <v>5.0199999999999996</v>
      </c>
    </row>
    <row r="29" spans="1:10" x14ac:dyDescent="0.2">
      <c r="A29" t="s">
        <v>29</v>
      </c>
      <c r="B29">
        <v>1.8</v>
      </c>
      <c r="F29" t="s">
        <v>27</v>
      </c>
      <c r="G29">
        <v>39.090000000000003</v>
      </c>
      <c r="H29">
        <v>0.94</v>
      </c>
    </row>
    <row r="30" spans="1:10" x14ac:dyDescent="0.2">
      <c r="A30" t="s">
        <v>30</v>
      </c>
      <c r="B30">
        <v>1.48</v>
      </c>
      <c r="J30" s="1"/>
    </row>
    <row r="31" spans="1:10" x14ac:dyDescent="0.2">
      <c r="A31" t="s">
        <v>31</v>
      </c>
      <c r="B31">
        <v>1.52</v>
      </c>
    </row>
    <row r="32" spans="1:10" x14ac:dyDescent="0.2">
      <c r="A32" t="s">
        <v>32</v>
      </c>
      <c r="B32">
        <v>29.33</v>
      </c>
    </row>
    <row r="33" spans="1:2" x14ac:dyDescent="0.2">
      <c r="A33" t="s">
        <v>33</v>
      </c>
      <c r="B33">
        <v>20.43</v>
      </c>
    </row>
    <row r="34" spans="1:2" x14ac:dyDescent="0.2">
      <c r="A34" t="s">
        <v>34</v>
      </c>
      <c r="B34">
        <v>37.22</v>
      </c>
    </row>
    <row r="35" spans="1:2" x14ac:dyDescent="0.2">
      <c r="A35" t="s">
        <v>35</v>
      </c>
      <c r="B35">
        <v>37.130000000000003</v>
      </c>
    </row>
    <row r="36" spans="1:2" x14ac:dyDescent="0.2">
      <c r="A36" t="s">
        <v>36</v>
      </c>
      <c r="B36">
        <v>1.05</v>
      </c>
    </row>
    <row r="37" spans="1:2" x14ac:dyDescent="0.2">
      <c r="A37" t="s">
        <v>37</v>
      </c>
      <c r="B37">
        <v>0.28999999999999998</v>
      </c>
    </row>
    <row r="38" spans="1:2" x14ac:dyDescent="0.2">
      <c r="A38" t="s">
        <v>38</v>
      </c>
      <c r="B38">
        <v>28.4</v>
      </c>
    </row>
    <row r="39" spans="1:2" x14ac:dyDescent="0.2">
      <c r="A39" t="s">
        <v>39</v>
      </c>
      <c r="B39">
        <v>18.649999999999999</v>
      </c>
    </row>
    <row r="40" spans="1:2" x14ac:dyDescent="0.2">
      <c r="A40" t="s">
        <v>40</v>
      </c>
      <c r="B40">
        <v>35.46</v>
      </c>
    </row>
    <row r="41" spans="1:2" x14ac:dyDescent="0.2">
      <c r="A41" t="s">
        <v>41</v>
      </c>
      <c r="B41">
        <v>36.21</v>
      </c>
    </row>
    <row r="42" spans="1:2" x14ac:dyDescent="0.2">
      <c r="A42" t="s">
        <v>42</v>
      </c>
      <c r="B42">
        <v>0.86</v>
      </c>
    </row>
    <row r="43" spans="1:2" x14ac:dyDescent="0.2">
      <c r="A43" t="s">
        <v>43</v>
      </c>
      <c r="B43">
        <v>28.33</v>
      </c>
    </row>
    <row r="44" spans="1:2" x14ac:dyDescent="0.2">
      <c r="A44" t="s">
        <v>44</v>
      </c>
      <c r="B44">
        <v>19.22</v>
      </c>
    </row>
    <row r="45" spans="1:2" x14ac:dyDescent="0.2">
      <c r="A45" t="s">
        <v>45</v>
      </c>
      <c r="B45">
        <v>36.229999999999997</v>
      </c>
    </row>
    <row r="46" spans="1:2" x14ac:dyDescent="0.2">
      <c r="A46" t="s">
        <v>46</v>
      </c>
      <c r="B46">
        <v>36.130000000000003</v>
      </c>
    </row>
    <row r="47" spans="1:2" x14ac:dyDescent="0.2">
      <c r="A47" t="s">
        <v>47</v>
      </c>
      <c r="B47">
        <v>28.53</v>
      </c>
    </row>
    <row r="48" spans="1:2" x14ac:dyDescent="0.2">
      <c r="A48" t="s">
        <v>48</v>
      </c>
      <c r="B48">
        <v>18.93</v>
      </c>
    </row>
    <row r="49" spans="1:2" x14ac:dyDescent="0.2">
      <c r="A49" t="s">
        <v>49</v>
      </c>
      <c r="B49">
        <v>35.74</v>
      </c>
    </row>
    <row r="50" spans="1:2" x14ac:dyDescent="0.2">
      <c r="A50" t="s">
        <v>50</v>
      </c>
      <c r="B50">
        <v>36.340000000000003</v>
      </c>
    </row>
    <row r="51" spans="1:2" x14ac:dyDescent="0.2">
      <c r="A51" t="s">
        <v>51</v>
      </c>
      <c r="B51">
        <v>21.81</v>
      </c>
    </row>
    <row r="52" spans="1:2" x14ac:dyDescent="0.2">
      <c r="A52" t="s">
        <v>52</v>
      </c>
      <c r="B52">
        <v>35.39</v>
      </c>
    </row>
    <row r="53" spans="1:2" x14ac:dyDescent="0.2">
      <c r="A53" t="s">
        <v>53</v>
      </c>
      <c r="B53">
        <v>7.82</v>
      </c>
    </row>
    <row r="54" spans="1:2" x14ac:dyDescent="0.2">
      <c r="A54" t="s">
        <v>54</v>
      </c>
      <c r="B54">
        <v>18.54</v>
      </c>
    </row>
    <row r="55" spans="1:2" x14ac:dyDescent="0.2">
      <c r="A55" t="s">
        <v>55</v>
      </c>
      <c r="B55">
        <v>28.28</v>
      </c>
    </row>
    <row r="56" spans="1:2" x14ac:dyDescent="0.2">
      <c r="A56" t="s">
        <v>70</v>
      </c>
      <c r="B56">
        <v>39.36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607FD6-5B89-AD40-86E5-185300FF8763}">
  <dimension ref="A1:C29"/>
  <sheetViews>
    <sheetView zoomScale="108" workbookViewId="0">
      <selection activeCell="C32" sqref="C32"/>
    </sheetView>
  </sheetViews>
  <sheetFormatPr baseColWidth="10" defaultRowHeight="16" x14ac:dyDescent="0.2"/>
  <cols>
    <col min="1" max="1" width="18" bestFit="1" customWidth="1"/>
    <col min="2" max="2" width="15" bestFit="1" customWidth="1"/>
    <col min="3" max="3" width="20.1640625" bestFit="1" customWidth="1"/>
  </cols>
  <sheetData>
    <row r="1" spans="1:3" x14ac:dyDescent="0.2">
      <c r="A1" t="s">
        <v>0</v>
      </c>
      <c r="B1" t="s">
        <v>1</v>
      </c>
      <c r="C1" t="s">
        <v>75</v>
      </c>
    </row>
    <row r="2" spans="1:3" x14ac:dyDescent="0.2">
      <c r="A2" t="s">
        <v>56</v>
      </c>
      <c r="B2" s="2">
        <v>1.6000000000000003</v>
      </c>
      <c r="C2" s="2">
        <v>1.36</v>
      </c>
    </row>
    <row r="3" spans="1:3" x14ac:dyDescent="0.2">
      <c r="A3" t="s">
        <v>57</v>
      </c>
      <c r="B3" s="2">
        <v>36.226666666666667</v>
      </c>
      <c r="C3" s="2">
        <v>0.88</v>
      </c>
    </row>
    <row r="4" spans="1:3" x14ac:dyDescent="0.2">
      <c r="A4" t="s">
        <v>58</v>
      </c>
      <c r="B4" s="2">
        <v>28.419999999999998</v>
      </c>
      <c r="C4" s="2">
        <v>0.27</v>
      </c>
    </row>
    <row r="5" spans="1:3" x14ac:dyDescent="0.2">
      <c r="A5" t="s">
        <v>59</v>
      </c>
      <c r="B5" s="2">
        <v>18.933333333333334</v>
      </c>
      <c r="C5" s="2">
        <v>2.44</v>
      </c>
    </row>
    <row r="6" spans="1:3" x14ac:dyDescent="0.2">
      <c r="A6" t="s">
        <v>60</v>
      </c>
      <c r="B6" s="2">
        <v>4.373333333333334</v>
      </c>
      <c r="C6" s="2">
        <v>3</v>
      </c>
    </row>
    <row r="7" spans="1:3" x14ac:dyDescent="0.2">
      <c r="A7" t="s">
        <v>61</v>
      </c>
      <c r="B7" s="2">
        <v>26.403333333333336</v>
      </c>
      <c r="C7" s="2">
        <v>2.0699999999999998</v>
      </c>
    </row>
    <row r="8" spans="1:3" x14ac:dyDescent="0.2">
      <c r="A8" t="s">
        <v>62</v>
      </c>
      <c r="B8" s="2">
        <v>35.81</v>
      </c>
      <c r="C8" s="2">
        <v>2.6</v>
      </c>
    </row>
    <row r="9" spans="1:3" x14ac:dyDescent="0.2">
      <c r="A9" t="s">
        <v>35</v>
      </c>
      <c r="B9" s="2">
        <v>37.130000000000003</v>
      </c>
      <c r="C9" s="2">
        <v>1.04</v>
      </c>
    </row>
    <row r="10" spans="1:3" x14ac:dyDescent="0.2">
      <c r="A10" t="s">
        <v>32</v>
      </c>
      <c r="B10" s="2">
        <v>29.33</v>
      </c>
      <c r="C10" s="2">
        <v>1.45</v>
      </c>
    </row>
    <row r="11" spans="1:3" x14ac:dyDescent="0.2">
      <c r="A11" t="s">
        <v>33</v>
      </c>
      <c r="B11" s="2">
        <v>20.43</v>
      </c>
      <c r="C11" s="2">
        <v>3.29</v>
      </c>
    </row>
    <row r="12" spans="1:3" x14ac:dyDescent="0.2">
      <c r="A12" t="s">
        <v>63</v>
      </c>
      <c r="B12" s="2">
        <v>2.75</v>
      </c>
      <c r="C12" s="2">
        <v>2.13</v>
      </c>
    </row>
    <row r="13" spans="1:3" x14ac:dyDescent="0.2">
      <c r="A13" t="s">
        <v>64</v>
      </c>
      <c r="B13" s="2">
        <v>27.33</v>
      </c>
      <c r="C13" s="2">
        <v>3.22</v>
      </c>
    </row>
    <row r="14" spans="1:3" x14ac:dyDescent="0.2">
      <c r="A14" t="s">
        <v>34</v>
      </c>
      <c r="B14" s="2">
        <v>37.22</v>
      </c>
      <c r="C14" s="2">
        <v>3.81</v>
      </c>
    </row>
    <row r="15" spans="1:3" x14ac:dyDescent="0.2">
      <c r="A15" t="s">
        <v>65</v>
      </c>
      <c r="B15" s="2">
        <v>7.82</v>
      </c>
      <c r="C15" s="2">
        <v>0.76</v>
      </c>
    </row>
    <row r="16" spans="1:3" x14ac:dyDescent="0.2">
      <c r="A16" t="s">
        <v>66</v>
      </c>
      <c r="B16" s="2">
        <v>28.28</v>
      </c>
      <c r="C16" s="2">
        <v>2.52</v>
      </c>
    </row>
    <row r="17" spans="1:3" x14ac:dyDescent="0.2">
      <c r="A17" t="s">
        <v>67</v>
      </c>
      <c r="B17" s="2">
        <v>38.43</v>
      </c>
      <c r="C17" s="2">
        <v>2.87</v>
      </c>
    </row>
    <row r="18" spans="1:3" x14ac:dyDescent="0.2">
      <c r="A18" t="s">
        <v>68</v>
      </c>
      <c r="B18" s="2">
        <v>37.799999999999997</v>
      </c>
      <c r="C18" s="2">
        <v>2.4300000000000002</v>
      </c>
    </row>
    <row r="19" spans="1:3" x14ac:dyDescent="0.2">
      <c r="A19" t="s">
        <v>69</v>
      </c>
      <c r="B19" s="2">
        <v>39.36</v>
      </c>
      <c r="C19" s="2">
        <v>2.89</v>
      </c>
    </row>
    <row r="20" spans="1:3" x14ac:dyDescent="0.2">
      <c r="A20" t="s">
        <v>51</v>
      </c>
      <c r="B20" s="2">
        <v>21.81</v>
      </c>
      <c r="C20" s="2">
        <v>2.23</v>
      </c>
    </row>
    <row r="21" spans="1:3" x14ac:dyDescent="0.2">
      <c r="A21" t="s">
        <v>71</v>
      </c>
      <c r="B21" s="2">
        <v>30.685000000000002</v>
      </c>
      <c r="C21" s="2">
        <v>3.08</v>
      </c>
    </row>
    <row r="22" spans="1:3" x14ac:dyDescent="0.2">
      <c r="A22" t="s">
        <v>72</v>
      </c>
      <c r="B22" s="2">
        <v>32.5</v>
      </c>
      <c r="C22" s="2">
        <v>1.9</v>
      </c>
    </row>
    <row r="23" spans="1:3" x14ac:dyDescent="0.2">
      <c r="A23" t="s">
        <v>52</v>
      </c>
      <c r="B23" s="2">
        <v>35.39</v>
      </c>
      <c r="C23" s="2">
        <v>2.41</v>
      </c>
    </row>
    <row r="24" spans="1:3" x14ac:dyDescent="0.2">
      <c r="A24" t="s">
        <v>73</v>
      </c>
      <c r="B24" s="2">
        <v>22.96</v>
      </c>
      <c r="C24" s="2">
        <v>3.99</v>
      </c>
    </row>
    <row r="25" spans="1:3" x14ac:dyDescent="0.2">
      <c r="A25" t="s">
        <v>74</v>
      </c>
      <c r="B25" s="2">
        <v>25.85</v>
      </c>
      <c r="C25" s="2">
        <v>0.93</v>
      </c>
    </row>
    <row r="26" spans="1:3" x14ac:dyDescent="0.2">
      <c r="A26" t="s">
        <v>54</v>
      </c>
      <c r="B26" s="2">
        <v>18.54</v>
      </c>
      <c r="C26" s="2">
        <v>1.48</v>
      </c>
    </row>
    <row r="27" spans="1:3" x14ac:dyDescent="0.2">
      <c r="A27" t="s">
        <v>3</v>
      </c>
      <c r="B27" s="2">
        <v>29.355</v>
      </c>
      <c r="C27" s="2">
        <v>4.18</v>
      </c>
    </row>
    <row r="28" spans="1:3" x14ac:dyDescent="0.2">
      <c r="A28" t="s">
        <v>10</v>
      </c>
      <c r="B28" s="2">
        <v>39.659999999999997</v>
      </c>
      <c r="C28" s="2">
        <v>5.0199999999999996</v>
      </c>
    </row>
    <row r="29" spans="1:3" x14ac:dyDescent="0.2">
      <c r="A29" t="s">
        <v>27</v>
      </c>
      <c r="B29" s="2">
        <v>39.090000000000003</v>
      </c>
      <c r="C29" s="2">
        <v>0.94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Genetic distances</vt:lpstr>
      <vt:lpstr>Genetic and morphometric dist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Mays, Herman</dc:creator>
  <cp:lastModifiedBy>Mays, Herman</cp:lastModifiedBy>
  <dcterms:created xsi:type="dcterms:W3CDTF">2025-07-18T16:37:43Z</dcterms:created>
  <dcterms:modified xsi:type="dcterms:W3CDTF">2025-07-18T19:11:23Z</dcterms:modified>
</cp:coreProperties>
</file>